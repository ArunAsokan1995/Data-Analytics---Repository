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ersonal\Data Analytics\Assignment 1\"/>
    </mc:Choice>
  </mc:AlternateContent>
  <xr:revisionPtr revIDLastSave="0" documentId="13_ncr:1_{F2D36260-C3CF-42E0-8CF7-1AAC000C6562}" xr6:coauthVersionLast="47" xr6:coauthVersionMax="47" xr10:uidLastSave="{00000000-0000-0000-0000-000000000000}"/>
  <bookViews>
    <workbookView xWindow="20370" yWindow="-120" windowWidth="24240" windowHeight="13020" activeTab="2" xr2:uid="{00000000-000D-0000-FFFF-FFFF00000000}"/>
  </bookViews>
  <sheets>
    <sheet name="Instructions" sheetId="1" r:id="rId1"/>
    <sheet name="Dataset" sheetId="2" r:id="rId2"/>
    <sheet name="Assignment" sheetId="3" r:id="rId3"/>
  </sheets>
  <definedNames>
    <definedName name="_xlnm._FilterDatabase" localSheetId="2" hidden="1">Assignment!$F$2:$M$36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P4" i="3" l="1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" i="3"/>
  <c r="C13" i="3"/>
  <c r="C12" i="3"/>
  <c r="C8" i="3"/>
  <c r="C6" i="3"/>
  <c r="C5" i="3"/>
  <c r="C2" i="3"/>
  <c r="C18" i="3"/>
  <c r="C17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" i="3"/>
</calcChain>
</file>

<file path=xl/sharedStrings.xml><?xml version="1.0" encoding="utf-8"?>
<sst xmlns="http://schemas.openxmlformats.org/spreadsheetml/2006/main" count="318" uniqueCount="124">
  <si>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</si>
  <si>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</si>
  <si>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</si>
  <si>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</si>
  <si>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</si>
  <si>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</si>
  <si>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</si>
  <si>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</si>
  <si>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</si>
  <si>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</si>
  <si>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</si>
  <si>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</si>
  <si>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</si>
  <si>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</si>
  <si>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</si>
  <si>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</si>
  <si>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</si>
  <si>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</si>
  <si>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</si>
  <si>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</si>
  <si>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</si>
  <si>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</si>
  <si>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</si>
  <si>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</si>
  <si>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</si>
  <si>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</si>
  <si>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</si>
  <si>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</si>
  <si>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</si>
  <si>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</si>
  <si>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</si>
  <si>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</si>
  <si>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</si>
  <si>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</si>
  <si>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</si>
  <si>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</si>
  <si>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</si>
  <si>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</si>
  <si>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</si>
  <si>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</si>
  <si>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</si>
  <si>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</si>
  <si>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</si>
  <si>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</si>
  <si>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</si>
  <si>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</si>
  <si>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</si>
  <si>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</si>
  <si>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</si>
  <si>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</si>
  <si>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</si>
  <si>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</si>
  <si>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</si>
  <si>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</si>
  <si>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</si>
  <si>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</si>
  <si>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</si>
  <si>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</si>
  <si>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</si>
  <si>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</si>
  <si>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</si>
  <si>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</si>
  <si>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</si>
  <si>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</si>
  <si>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</si>
  <si>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</si>
  <si>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</si>
  <si>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</si>
  <si>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</si>
  <si>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</si>
  <si>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</si>
  <si>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</si>
  <si>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</si>
  <si>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</si>
  <si>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</si>
  <si>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</si>
  <si>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</si>
  <si>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</si>
  <si>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</si>
  <si>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</si>
  <si>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</si>
  <si>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</si>
  <si>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</si>
  <si>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</si>
  <si>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</si>
  <si>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</si>
  <si>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</si>
  <si>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</si>
  <si>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</si>
  <si>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</si>
  <si>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</si>
  <si>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</si>
  <si>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</si>
  <si>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</si>
  <si>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</si>
  <si>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</si>
  <si>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</si>
  <si>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</si>
  <si>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</si>
  <si>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</si>
  <si>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</si>
  <si>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</si>
  <si>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</si>
  <si>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</si>
  <si>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</si>
  <si>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</si>
  <si>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</si>
  <si>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</si>
  <si>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</si>
  <si>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</si>
  <si>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</si>
  <si>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Product Count</t>
  </si>
  <si>
    <t>Unique products</t>
  </si>
  <si>
    <t>Total No of Product</t>
  </si>
  <si>
    <t>Average Price</t>
  </si>
  <si>
    <t>Min Price</t>
  </si>
  <si>
    <t>Max Price</t>
  </si>
  <si>
    <t>Price Range</t>
  </si>
  <si>
    <t>Total price of product - Electronics</t>
  </si>
  <si>
    <t>Count of products with a price less than $100</t>
  </si>
  <si>
    <t>3) IF Function: &amp; 5) Text Formatting - LEFT, RIGHT, MID: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</si>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</sst>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4DD0E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  <xf numFmtId="0" fontId="0" fillId="0" borderId="1" xfId="0" applyBorder="1"/>
    <xf numFmtId="0" fontId="3" fillId="5" borderId="0" xfId="0" applyFont="1" applyFill="1"/>
    <xf numFmtId="0" fontId="8" fillId="0" borderId="1" xfId="0" applyFont="1" applyBorder="1"/>
    <xf numFmtId="0" fontId="0" fillId="0" borderId="2" xfId="0" applyBorder="1"/>
    <xf numFmtId="43" fontId="0" fillId="0" borderId="1" xfId="1" applyFont="1" applyBorder="1"/>
    <xf numFmtId="0" fontId="9" fillId="0" borderId="0" xfId="0" applyFont="1"/>
    <xf numFmtId="0" fontId="9" fillId="0" borderId="1" xfId="0" applyFont="1" applyBorder="1"/>
    <xf numFmtId="0" fontId="5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A22" sqref="A22:A23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11" t="s">
        <v>2</v>
      </c>
    </row>
    <row r="5" spans="1:3" ht="15.75" customHeight="1" x14ac:dyDescent="0.25">
      <c r="B5" s="2"/>
      <c r="C5" s="11" t="s">
        <v>3</v>
      </c>
    </row>
    <row r="6" spans="1:3" ht="15.75" customHeight="1" x14ac:dyDescent="0.25">
      <c r="B6" s="2"/>
      <c r="C6" s="11" t="s">
        <v>4</v>
      </c>
    </row>
    <row r="7" spans="1:3" ht="15.75" customHeight="1" x14ac:dyDescent="0.25">
      <c r="B7" s="3"/>
    </row>
    <row r="8" spans="1:3" ht="15.75" customHeight="1" x14ac:dyDescent="0.25">
      <c r="B8" s="2" t="s">
        <v>5</v>
      </c>
    </row>
    <row r="9" spans="1:3" ht="15.75" customHeight="1" x14ac:dyDescent="0.25">
      <c r="C9" s="11" t="s">
        <v>6</v>
      </c>
    </row>
    <row r="10" spans="1:3" ht="15.75" customHeight="1" x14ac:dyDescent="0.25">
      <c r="C10" s="11" t="s">
        <v>7</v>
      </c>
    </row>
    <row r="11" spans="1:3" ht="15.75" customHeight="1" x14ac:dyDescent="0.25">
      <c r="B11" s="3"/>
    </row>
    <row r="12" spans="1:3" ht="15.75" customHeight="1" x14ac:dyDescent="0.25">
      <c r="B12" s="2" t="s">
        <v>8</v>
      </c>
    </row>
    <row r="13" spans="1:3" ht="15.75" customHeight="1" x14ac:dyDescent="0.25">
      <c r="C13" s="11" t="s">
        <v>9</v>
      </c>
    </row>
    <row r="14" spans="1:3" ht="15.75" customHeight="1" x14ac:dyDescent="0.25">
      <c r="B14" s="3"/>
    </row>
    <row r="15" spans="1:3" ht="15.75" customHeight="1" x14ac:dyDescent="0.25">
      <c r="B15" s="2" t="s">
        <v>10</v>
      </c>
    </row>
    <row r="16" spans="1:3" ht="15.75" customHeight="1" x14ac:dyDescent="0.25">
      <c r="C16" s="11" t="s">
        <v>11</v>
      </c>
    </row>
    <row r="17" spans="2:3" ht="15.75" customHeight="1" x14ac:dyDescent="0.25">
      <c r="C17" s="11" t="s">
        <v>12</v>
      </c>
    </row>
    <row r="18" spans="2:3" ht="15.75" customHeight="1" x14ac:dyDescent="0.25">
      <c r="B18" s="3"/>
    </row>
    <row r="19" spans="2:3" ht="15.75" customHeight="1" x14ac:dyDescent="0.25">
      <c r="B19" s="2" t="s">
        <v>13</v>
      </c>
    </row>
    <row r="20" spans="2:3" ht="15.75" customHeight="1" x14ac:dyDescent="0.25">
      <c r="C20" s="11" t="s">
        <v>14</v>
      </c>
    </row>
    <row r="21" spans="2:3" ht="15.75" customHeight="1" x14ac:dyDescent="0.25">
      <c r="C21" s="11" t="s">
        <v>15</v>
      </c>
    </row>
    <row r="22" spans="2:3" ht="15.75" customHeight="1" x14ac:dyDescent="0.25">
      <c r="C22" s="11" t="s">
        <v>16</v>
      </c>
    </row>
    <row r="23" spans="2:3" ht="15.75" customHeight="1" x14ac:dyDescent="0.25">
      <c r="B23" s="3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4"/>
    </row>
    <row r="2" spans="1:7" ht="15.75" customHeight="1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5"/>
    </row>
    <row r="3" spans="1:7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5"/>
    </row>
    <row r="4" spans="1:7" ht="15.75" customHeight="1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5"/>
    </row>
    <row r="5" spans="1:7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5"/>
    </row>
    <row r="6" spans="1:7" ht="15.75" customHeight="1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5"/>
    </row>
    <row r="7" spans="1:7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5"/>
    </row>
    <row r="8" spans="1:7" ht="15.75" customHeight="1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5"/>
    </row>
    <row r="9" spans="1:7" ht="15.75" customHeight="1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5"/>
    </row>
    <row r="10" spans="1:7" ht="15.75" customHeight="1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5"/>
    </row>
    <row r="11" spans="1:7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5"/>
    </row>
    <row r="12" spans="1:7" ht="15.75" customHeight="1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5"/>
    </row>
    <row r="13" spans="1:7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5"/>
    </row>
    <row r="14" spans="1:7" ht="15.75" customHeight="1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5"/>
    </row>
    <row r="15" spans="1:7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5"/>
    </row>
    <row r="16" spans="1:7" ht="15.75" customHeight="1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5"/>
    </row>
    <row r="17" spans="1:7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5"/>
    </row>
    <row r="18" spans="1:7" ht="15.75" customHeight="1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5"/>
    </row>
    <row r="19" spans="1:7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5"/>
    </row>
    <row r="20" spans="1:7" ht="15.75" customHeight="1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5"/>
    </row>
    <row r="21" spans="1:7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5"/>
    </row>
    <row r="22" spans="1:7" ht="15.75" customHeight="1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5"/>
    </row>
    <row r="23" spans="1:7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5"/>
    </row>
    <row r="24" spans="1:7" ht="15.75" customHeight="1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5"/>
    </row>
    <row r="25" spans="1:7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6"/>
    </row>
    <row r="26" spans="1:7" ht="15.75" customHeight="1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5"/>
    </row>
    <row r="27" spans="1:7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5"/>
    </row>
    <row r="28" spans="1:7" ht="15.75" customHeight="1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5"/>
    </row>
    <row r="29" spans="1:7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6"/>
    </row>
    <row r="30" spans="1:7" ht="15.75" customHeight="1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5"/>
    </row>
    <row r="31" spans="1:7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5"/>
    </row>
    <row r="32" spans="1:7" ht="15.75" customHeight="1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5"/>
    </row>
    <row r="33" spans="1:7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5"/>
    </row>
    <row r="34" spans="1:7" ht="15.75" customHeight="1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5"/>
    </row>
    <row r="35" spans="1:7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5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A1B3-6F76-43A5-91A7-35B3E99F8874}">
  <dimension ref="A1:P36"/>
  <sheetViews>
    <sheetView tabSelected="1" workbookViewId="0">
      <selection activeCell="B24" sqref="B24"/>
    </sheetView>
  </sheetViews>
  <sheetFormatPr defaultRowHeight="12.75" x14ac:dyDescent="0.2"/>
  <cols>
    <col min="1" max="1" width="15.42578125" customWidth="1"/>
    <col min="2" max="2" width="39.28515625" bestFit="1" customWidth="1"/>
    <col min="6" max="6" width="13.140625" bestFit="1" customWidth="1"/>
    <col min="7" max="7" width="10.85546875" bestFit="1" customWidth="1"/>
    <col min="8" max="8" width="14" bestFit="1" customWidth="1"/>
    <col min="9" max="9" width="12.28515625" bestFit="1" customWidth="1"/>
    <col min="10" max="10" width="8.42578125" bestFit="1" customWidth="1"/>
    <col min="11" max="11" width="8.5703125" bestFit="1" customWidth="1"/>
    <col min="12" max="12" width="11.28515625" bestFit="1" customWidth="1"/>
    <col min="13" max="13" width="13.42578125" bestFit="1" customWidth="1"/>
    <col min="14" max="14" width="11.7109375" customWidth="1"/>
    <col min="15" max="15" width="13.42578125" customWidth="1"/>
    <col min="16" max="16" width="13.42578125" bestFit="1" customWidth="1"/>
  </cols>
  <sheetData>
    <row r="1" spans="1:16" x14ac:dyDescent="0.2">
      <c r="A1" s="15" t="s">
        <v>1</v>
      </c>
      <c r="F1" s="16" t="s">
        <v>120</v>
      </c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2">
      <c r="A2" s="10">
        <v>1</v>
      </c>
      <c r="B2" s="10" t="s">
        <v>110</v>
      </c>
      <c r="C2" s="10">
        <f>SUM(J3:J36)</f>
        <v>10100</v>
      </c>
      <c r="F2" s="10"/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22</v>
      </c>
      <c r="M2" s="17" t="s">
        <v>117</v>
      </c>
      <c r="N2" s="18" t="s">
        <v>121</v>
      </c>
      <c r="O2" s="18" t="s">
        <v>122</v>
      </c>
      <c r="P2" s="18" t="s">
        <v>123</v>
      </c>
    </row>
    <row r="3" spans="1:16" x14ac:dyDescent="0.2">
      <c r="F3" s="10"/>
      <c r="G3" s="8" t="s">
        <v>23</v>
      </c>
      <c r="H3" s="8" t="s">
        <v>24</v>
      </c>
      <c r="I3" s="8" t="s">
        <v>25</v>
      </c>
      <c r="J3" s="8">
        <v>1000</v>
      </c>
      <c r="K3" s="8">
        <v>30</v>
      </c>
      <c r="L3" s="8" t="s">
        <v>26</v>
      </c>
      <c r="M3" s="8" t="str">
        <f>IF(Assignment!J3&gt;=500,"High Price","Standard Price")</f>
        <v>High Price</v>
      </c>
      <c r="N3" s="19" t="str">
        <f>LEFT(G3,2)</f>
        <v>28</v>
      </c>
      <c r="O3" s="20" t="str">
        <f>RIGHT(G3,2)</f>
        <v>US</v>
      </c>
      <c r="P3" s="19" t="str">
        <f>MID(G3,4,3)</f>
        <v>JAN</v>
      </c>
    </row>
    <row r="4" spans="1:16" x14ac:dyDescent="0.2">
      <c r="A4" s="10">
        <v>2</v>
      </c>
      <c r="B4" s="10" t="s">
        <v>111</v>
      </c>
      <c r="C4" s="13"/>
      <c r="F4" s="10"/>
      <c r="G4" s="9" t="s">
        <v>27</v>
      </c>
      <c r="H4" s="9" t="s">
        <v>28</v>
      </c>
      <c r="I4" s="9" t="s">
        <v>29</v>
      </c>
      <c r="J4" s="9">
        <v>80</v>
      </c>
      <c r="K4" s="9">
        <v>15</v>
      </c>
      <c r="L4" s="9" t="s">
        <v>30</v>
      </c>
      <c r="M4" s="8" t="str">
        <f>IF(Assignment!J4&gt;=500,"High Price","Standard Price")</f>
        <v>Standard Price</v>
      </c>
      <c r="N4" s="19" t="str">
        <f t="shared" ref="N4:N36" si="0">LEFT(G4,2)</f>
        <v>15</v>
      </c>
      <c r="O4" s="20" t="str">
        <f t="shared" ref="O4:O36" si="1">RIGHT(G4,2)</f>
        <v>US</v>
      </c>
      <c r="P4" s="19" t="str">
        <f t="shared" ref="P4:P36" si="2">MID(G4,4,3)</f>
        <v>FEB</v>
      </c>
    </row>
    <row r="5" spans="1:16" x14ac:dyDescent="0.2">
      <c r="A5" s="10"/>
      <c r="B5" s="12" t="s">
        <v>113</v>
      </c>
      <c r="C5" s="13">
        <f>COUNTA(H3:H36)</f>
        <v>34</v>
      </c>
      <c r="F5" s="10"/>
      <c r="G5" s="8" t="s">
        <v>31</v>
      </c>
      <c r="H5" s="8" t="s">
        <v>32</v>
      </c>
      <c r="I5" s="8" t="s">
        <v>33</v>
      </c>
      <c r="J5" s="8">
        <v>130</v>
      </c>
      <c r="K5" s="8">
        <v>40</v>
      </c>
      <c r="L5" s="8" t="s">
        <v>34</v>
      </c>
      <c r="M5" s="8" t="str">
        <f>IF(Assignment!J5&gt;=500,"High Price","Standard Price")</f>
        <v>Standard Price</v>
      </c>
      <c r="N5" s="19" t="str">
        <f t="shared" si="0"/>
        <v>03</v>
      </c>
      <c r="O5" s="20" t="str">
        <f t="shared" si="1"/>
        <v>US</v>
      </c>
      <c r="P5" s="19" t="str">
        <f t="shared" si="2"/>
        <v>MAR</v>
      </c>
    </row>
    <row r="6" spans="1:16" x14ac:dyDescent="0.2">
      <c r="A6" s="10"/>
      <c r="B6" s="10" t="s">
        <v>112</v>
      </c>
      <c r="C6" s="13">
        <f>COUNTA(_xlfn.UNIQUE(H3:H36))</f>
        <v>21</v>
      </c>
      <c r="F6" s="10"/>
      <c r="G6" s="9" t="s">
        <v>35</v>
      </c>
      <c r="H6" s="9" t="s">
        <v>36</v>
      </c>
      <c r="I6" s="9" t="s">
        <v>37</v>
      </c>
      <c r="J6" s="9">
        <v>900</v>
      </c>
      <c r="K6" s="9">
        <v>25</v>
      </c>
      <c r="L6" s="9" t="s">
        <v>26</v>
      </c>
      <c r="M6" s="8" t="str">
        <f>IF(Assignment!J6&gt;=500,"High Price","Standard Price")</f>
        <v>High Price</v>
      </c>
      <c r="N6" s="19" t="str">
        <f t="shared" si="0"/>
        <v>11</v>
      </c>
      <c r="O6" s="20" t="str">
        <f t="shared" si="1"/>
        <v>US</v>
      </c>
      <c r="P6" s="19" t="str">
        <f t="shared" si="2"/>
        <v>APR</v>
      </c>
    </row>
    <row r="7" spans="1:16" x14ac:dyDescent="0.2">
      <c r="F7" s="10"/>
      <c r="G7" s="8" t="s">
        <v>38</v>
      </c>
      <c r="H7" s="8" t="s">
        <v>39</v>
      </c>
      <c r="I7" s="8" t="s">
        <v>40</v>
      </c>
      <c r="J7" s="8">
        <v>70</v>
      </c>
      <c r="K7" s="8">
        <v>20</v>
      </c>
      <c r="L7" s="8" t="s">
        <v>41</v>
      </c>
      <c r="M7" s="8" t="str">
        <f>IF(Assignment!J7&gt;=500,"High Price","Standard Price")</f>
        <v>Standard Price</v>
      </c>
      <c r="N7" s="19" t="str">
        <f t="shared" si="0"/>
        <v>22</v>
      </c>
      <c r="O7" s="20" t="str">
        <f t="shared" si="1"/>
        <v>US</v>
      </c>
      <c r="P7" s="19" t="str">
        <f t="shared" si="2"/>
        <v>MAY</v>
      </c>
    </row>
    <row r="8" spans="1:16" x14ac:dyDescent="0.2">
      <c r="A8" s="10">
        <v>3</v>
      </c>
      <c r="B8" s="12" t="s">
        <v>114</v>
      </c>
      <c r="C8" s="14">
        <f>AVERAGE(J3:J36)</f>
        <v>297.05882352941177</v>
      </c>
      <c r="F8" s="10"/>
      <c r="G8" s="9" t="s">
        <v>42</v>
      </c>
      <c r="H8" s="9" t="s">
        <v>43</v>
      </c>
      <c r="I8" s="9" t="s">
        <v>44</v>
      </c>
      <c r="J8" s="9">
        <v>200</v>
      </c>
      <c r="K8" s="9">
        <v>45</v>
      </c>
      <c r="L8" s="9" t="s">
        <v>26</v>
      </c>
      <c r="M8" s="8" t="str">
        <f>IF(Assignment!J8&gt;=500,"High Price","Standard Price")</f>
        <v>Standard Price</v>
      </c>
      <c r="N8" s="19" t="str">
        <f t="shared" si="0"/>
        <v>07</v>
      </c>
      <c r="O8" s="20" t="str">
        <f t="shared" si="1"/>
        <v>UK</v>
      </c>
      <c r="P8" s="19" t="str">
        <f t="shared" si="2"/>
        <v>JUN</v>
      </c>
    </row>
    <row r="9" spans="1:16" x14ac:dyDescent="0.2">
      <c r="F9" s="10"/>
      <c r="G9" s="8" t="s">
        <v>45</v>
      </c>
      <c r="H9" s="8" t="s">
        <v>46</v>
      </c>
      <c r="I9" s="8" t="s">
        <v>47</v>
      </c>
      <c r="J9" s="8">
        <v>30</v>
      </c>
      <c r="K9" s="8">
        <v>5</v>
      </c>
      <c r="L9" s="8" t="s">
        <v>30</v>
      </c>
      <c r="M9" s="8" t="str">
        <f>IF(Assignment!J9&gt;=500,"High Price","Standard Price")</f>
        <v>Standard Price</v>
      </c>
      <c r="N9" s="19" t="str">
        <f t="shared" si="0"/>
        <v>19</v>
      </c>
      <c r="O9" s="20" t="str">
        <f t="shared" si="1"/>
        <v>UK</v>
      </c>
      <c r="P9" s="19" t="str">
        <f t="shared" si="2"/>
        <v>JUL</v>
      </c>
    </row>
    <row r="10" spans="1:16" x14ac:dyDescent="0.2">
      <c r="F10" s="10"/>
      <c r="G10" s="9" t="s">
        <v>48</v>
      </c>
      <c r="H10" s="9" t="s">
        <v>49</v>
      </c>
      <c r="I10" s="9" t="s">
        <v>50</v>
      </c>
      <c r="J10" s="9">
        <v>90</v>
      </c>
      <c r="K10" s="9">
        <v>35</v>
      </c>
      <c r="L10" s="9" t="s">
        <v>34</v>
      </c>
      <c r="M10" s="8" t="str">
        <f>IF(Assignment!J10&gt;=500,"High Price","Standard Price")</f>
        <v>Standard Price</v>
      </c>
      <c r="N10" s="19" t="str">
        <f t="shared" si="0"/>
        <v>23</v>
      </c>
      <c r="O10" s="20" t="str">
        <f t="shared" si="1"/>
        <v>UK</v>
      </c>
      <c r="P10" s="19" t="str">
        <f t="shared" si="2"/>
        <v>AUG</v>
      </c>
    </row>
    <row r="11" spans="1:16" x14ac:dyDescent="0.2">
      <c r="A11" s="16" t="s">
        <v>5</v>
      </c>
      <c r="B11" s="10"/>
      <c r="C11" s="10"/>
      <c r="F11" s="10"/>
      <c r="G11" s="8" t="s">
        <v>51</v>
      </c>
      <c r="H11" s="8" t="s">
        <v>52</v>
      </c>
      <c r="I11" s="8" t="s">
        <v>53</v>
      </c>
      <c r="J11" s="8">
        <v>500</v>
      </c>
      <c r="K11" s="8">
        <v>50</v>
      </c>
      <c r="L11" s="8" t="s">
        <v>26</v>
      </c>
      <c r="M11" s="8" t="str">
        <f>IF(Assignment!J11&gt;=500,"High Price","Standard Price")</f>
        <v>High Price</v>
      </c>
      <c r="N11" s="19" t="str">
        <f t="shared" si="0"/>
        <v>05</v>
      </c>
      <c r="O11" s="20" t="str">
        <f t="shared" si="1"/>
        <v>UK</v>
      </c>
      <c r="P11" s="19" t="str">
        <f t="shared" si="2"/>
        <v>SEP</v>
      </c>
    </row>
    <row r="12" spans="1:16" x14ac:dyDescent="0.2">
      <c r="A12" s="10">
        <v>1</v>
      </c>
      <c r="B12" s="10" t="s">
        <v>115</v>
      </c>
      <c r="C12" s="10">
        <f>MIN(J3:J36)</f>
        <v>30</v>
      </c>
      <c r="F12" s="10"/>
      <c r="G12" s="9" t="s">
        <v>54</v>
      </c>
      <c r="H12" s="9" t="s">
        <v>55</v>
      </c>
      <c r="I12" s="9" t="s">
        <v>56</v>
      </c>
      <c r="J12" s="9">
        <v>130</v>
      </c>
      <c r="K12" s="9">
        <v>10</v>
      </c>
      <c r="L12" s="9" t="s">
        <v>41</v>
      </c>
      <c r="M12" s="8" t="str">
        <f>IF(Assignment!J12&gt;=500,"High Price","Standard Price")</f>
        <v>Standard Price</v>
      </c>
      <c r="N12" s="19" t="str">
        <f t="shared" si="0"/>
        <v>14</v>
      </c>
      <c r="O12" s="20" t="str">
        <f t="shared" si="1"/>
        <v>UK</v>
      </c>
      <c r="P12" s="19" t="str">
        <f t="shared" si="2"/>
        <v>OCT</v>
      </c>
    </row>
    <row r="13" spans="1:16" x14ac:dyDescent="0.2">
      <c r="A13" s="10">
        <v>2</v>
      </c>
      <c r="B13" s="10" t="s">
        <v>116</v>
      </c>
      <c r="C13" s="10">
        <f>MAX(J3:J36)</f>
        <v>1000</v>
      </c>
      <c r="F13" s="10"/>
      <c r="G13" s="8" t="s">
        <v>57</v>
      </c>
      <c r="H13" s="8" t="s">
        <v>24</v>
      </c>
      <c r="I13" s="8" t="s">
        <v>58</v>
      </c>
      <c r="J13" s="8">
        <v>950</v>
      </c>
      <c r="K13" s="8">
        <v>25</v>
      </c>
      <c r="L13" s="8" t="s">
        <v>26</v>
      </c>
      <c r="M13" s="8" t="str">
        <f>IF(Assignment!J13&gt;=500,"High Price","Standard Price")</f>
        <v>High Price</v>
      </c>
      <c r="N13" s="19" t="str">
        <f t="shared" si="0"/>
        <v>17</v>
      </c>
      <c r="O13" s="20" t="str">
        <f t="shared" si="1"/>
        <v>IN</v>
      </c>
      <c r="P13" s="19" t="str">
        <f t="shared" si="2"/>
        <v>JUN</v>
      </c>
    </row>
    <row r="14" spans="1:16" x14ac:dyDescent="0.2">
      <c r="F14" s="10"/>
      <c r="G14" s="9" t="s">
        <v>59</v>
      </c>
      <c r="H14" s="9" t="s">
        <v>28</v>
      </c>
      <c r="I14" s="9" t="s">
        <v>47</v>
      </c>
      <c r="J14" s="9">
        <v>90</v>
      </c>
      <c r="K14" s="9">
        <v>40</v>
      </c>
      <c r="L14" s="9" t="s">
        <v>30</v>
      </c>
      <c r="M14" s="8" t="str">
        <f>IF(Assignment!J14&gt;=500,"High Price","Standard Price")</f>
        <v>Standard Price</v>
      </c>
      <c r="N14" s="19" t="str">
        <f t="shared" si="0"/>
        <v>25</v>
      </c>
      <c r="O14" s="20" t="str">
        <f t="shared" si="1"/>
        <v>AU</v>
      </c>
      <c r="P14" s="19" t="str">
        <f t="shared" si="2"/>
        <v>NOV</v>
      </c>
    </row>
    <row r="15" spans="1:16" x14ac:dyDescent="0.2">
      <c r="F15" s="10"/>
      <c r="G15" s="8" t="s">
        <v>60</v>
      </c>
      <c r="H15" s="8" t="s">
        <v>32</v>
      </c>
      <c r="I15" s="8" t="s">
        <v>61</v>
      </c>
      <c r="J15" s="8">
        <v>120</v>
      </c>
      <c r="K15" s="8">
        <v>35</v>
      </c>
      <c r="L15" s="8" t="s">
        <v>34</v>
      </c>
      <c r="M15" s="8" t="str">
        <f>IF(Assignment!J15&gt;=500,"High Price","Standard Price")</f>
        <v>Standard Price</v>
      </c>
      <c r="N15" s="19" t="str">
        <f t="shared" si="0"/>
        <v>08</v>
      </c>
      <c r="O15" s="20" t="str">
        <f t="shared" si="1"/>
        <v>DE</v>
      </c>
      <c r="P15" s="19" t="str">
        <f t="shared" si="2"/>
        <v>DEC</v>
      </c>
    </row>
    <row r="16" spans="1:16" x14ac:dyDescent="0.2">
      <c r="A16" s="16" t="s">
        <v>10</v>
      </c>
      <c r="B16" s="10"/>
      <c r="C16" s="10"/>
      <c r="F16" s="10"/>
      <c r="G16" s="9" t="s">
        <v>62</v>
      </c>
      <c r="H16" s="9" t="s">
        <v>63</v>
      </c>
      <c r="I16" s="9" t="s">
        <v>64</v>
      </c>
      <c r="J16" s="9">
        <v>150</v>
      </c>
      <c r="K16" s="9">
        <v>15</v>
      </c>
      <c r="L16" s="9" t="s">
        <v>26</v>
      </c>
      <c r="M16" s="8" t="str">
        <f>IF(Assignment!J16&gt;=500,"High Price","Standard Price")</f>
        <v>Standard Price</v>
      </c>
      <c r="N16" s="19" t="str">
        <f t="shared" si="0"/>
        <v>18</v>
      </c>
      <c r="O16" s="20" t="str">
        <f t="shared" si="1"/>
        <v>CA</v>
      </c>
      <c r="P16" s="19" t="str">
        <f t="shared" si="2"/>
        <v>FEB</v>
      </c>
    </row>
    <row r="17" spans="1:16" x14ac:dyDescent="0.2">
      <c r="A17" s="10">
        <v>1</v>
      </c>
      <c r="B17" s="10" t="s">
        <v>118</v>
      </c>
      <c r="C17" s="10">
        <f>SUMIF(L3:L36,"Electronics",J3:J36)</f>
        <v>8050</v>
      </c>
      <c r="F17" s="10"/>
      <c r="G17" s="8" t="s">
        <v>65</v>
      </c>
      <c r="H17" s="8" t="s">
        <v>43</v>
      </c>
      <c r="I17" s="8" t="s">
        <v>66</v>
      </c>
      <c r="J17" s="8">
        <v>250</v>
      </c>
      <c r="K17" s="8">
        <v>20</v>
      </c>
      <c r="L17" s="8" t="s">
        <v>26</v>
      </c>
      <c r="M17" s="8" t="str">
        <f>IF(Assignment!J17&gt;=500,"High Price","Standard Price")</f>
        <v>Standard Price</v>
      </c>
      <c r="N17" s="19" t="str">
        <f t="shared" si="0"/>
        <v>16</v>
      </c>
      <c r="O17" s="20" t="str">
        <f t="shared" si="1"/>
        <v>ES</v>
      </c>
      <c r="P17" s="19" t="str">
        <f t="shared" si="2"/>
        <v>APR</v>
      </c>
    </row>
    <row r="18" spans="1:16" x14ac:dyDescent="0.2">
      <c r="A18" s="10">
        <v>2</v>
      </c>
      <c r="B18" s="10" t="s">
        <v>119</v>
      </c>
      <c r="C18" s="10">
        <f>COUNTIF(J3:J36,"&lt;100")</f>
        <v>11</v>
      </c>
      <c r="F18" s="10"/>
      <c r="G18" s="9" t="s">
        <v>67</v>
      </c>
      <c r="H18" s="9" t="s">
        <v>68</v>
      </c>
      <c r="I18" s="9" t="s">
        <v>69</v>
      </c>
      <c r="J18" s="9">
        <v>50</v>
      </c>
      <c r="K18" s="9">
        <v>35</v>
      </c>
      <c r="L18" s="9" t="s">
        <v>70</v>
      </c>
      <c r="M18" s="8" t="str">
        <f>IF(Assignment!J18&gt;=500,"High Price","Standard Price")</f>
        <v>Standard Price</v>
      </c>
      <c r="N18" s="19" t="str">
        <f t="shared" si="0"/>
        <v>21</v>
      </c>
      <c r="O18" s="20" t="str">
        <f t="shared" si="1"/>
        <v>CA</v>
      </c>
      <c r="P18" s="19" t="str">
        <f t="shared" si="2"/>
        <v>AUG</v>
      </c>
    </row>
    <row r="19" spans="1:16" x14ac:dyDescent="0.2">
      <c r="F19" s="10"/>
      <c r="G19" s="8" t="s">
        <v>71</v>
      </c>
      <c r="H19" s="8" t="s">
        <v>63</v>
      </c>
      <c r="I19" s="8" t="s">
        <v>72</v>
      </c>
      <c r="J19" s="8">
        <v>160</v>
      </c>
      <c r="K19" s="8">
        <v>15</v>
      </c>
      <c r="L19" s="8" t="s">
        <v>26</v>
      </c>
      <c r="M19" s="8" t="str">
        <f>IF(Assignment!J19&gt;=500,"High Price","Standard Price")</f>
        <v>Standard Price</v>
      </c>
      <c r="N19" s="19" t="str">
        <f t="shared" si="0"/>
        <v>20</v>
      </c>
      <c r="O19" s="20" t="str">
        <f t="shared" si="1"/>
        <v>CN</v>
      </c>
      <c r="P19" s="19" t="str">
        <f t="shared" si="2"/>
        <v>AUG</v>
      </c>
    </row>
    <row r="20" spans="1:16" x14ac:dyDescent="0.2">
      <c r="F20" s="10"/>
      <c r="G20" s="9" t="s">
        <v>73</v>
      </c>
      <c r="H20" s="9" t="s">
        <v>24</v>
      </c>
      <c r="I20" s="9" t="s">
        <v>74</v>
      </c>
      <c r="J20" s="9">
        <v>980</v>
      </c>
      <c r="K20" s="9">
        <v>10</v>
      </c>
      <c r="L20" s="9" t="s">
        <v>26</v>
      </c>
      <c r="M20" s="8" t="str">
        <f>IF(Assignment!J20&gt;=500,"High Price","Standard Price")</f>
        <v>High Price</v>
      </c>
      <c r="N20" s="19" t="str">
        <f t="shared" si="0"/>
        <v>27</v>
      </c>
      <c r="O20" s="20" t="str">
        <f t="shared" si="1"/>
        <v>IT</v>
      </c>
      <c r="P20" s="19" t="str">
        <f t="shared" si="2"/>
        <v>JAN</v>
      </c>
    </row>
    <row r="21" spans="1:16" x14ac:dyDescent="0.2">
      <c r="F21" s="10"/>
      <c r="G21" s="8" t="s">
        <v>75</v>
      </c>
      <c r="H21" s="8" t="s">
        <v>76</v>
      </c>
      <c r="I21" s="8" t="s">
        <v>77</v>
      </c>
      <c r="J21" s="8">
        <v>150</v>
      </c>
      <c r="K21" s="8">
        <v>15</v>
      </c>
      <c r="L21" s="8" t="s">
        <v>30</v>
      </c>
      <c r="M21" s="8" t="str">
        <f>IF(Assignment!J21&gt;=500,"High Price","Standard Price")</f>
        <v>Standard Price</v>
      </c>
      <c r="N21" s="19" t="str">
        <f t="shared" si="0"/>
        <v>01</v>
      </c>
      <c r="O21" s="20" t="str">
        <f t="shared" si="1"/>
        <v>UK</v>
      </c>
      <c r="P21" s="19" t="str">
        <f t="shared" si="2"/>
        <v>MAR</v>
      </c>
    </row>
    <row r="22" spans="1:16" x14ac:dyDescent="0.2">
      <c r="F22" s="10"/>
      <c r="G22" s="9" t="s">
        <v>78</v>
      </c>
      <c r="H22" s="9" t="s">
        <v>79</v>
      </c>
      <c r="I22" s="9" t="s">
        <v>80</v>
      </c>
      <c r="J22" s="9">
        <v>200</v>
      </c>
      <c r="K22" s="9">
        <v>10</v>
      </c>
      <c r="L22" s="9" t="s">
        <v>41</v>
      </c>
      <c r="M22" s="8" t="str">
        <f>IF(Assignment!J22&gt;=500,"High Price","Standard Price")</f>
        <v>Standard Price</v>
      </c>
      <c r="N22" s="19" t="str">
        <f t="shared" si="0"/>
        <v>14</v>
      </c>
      <c r="O22" s="20" t="str">
        <f t="shared" si="1"/>
        <v>US</v>
      </c>
      <c r="P22" s="19" t="str">
        <f t="shared" si="2"/>
        <v>AUG</v>
      </c>
    </row>
    <row r="23" spans="1:16" x14ac:dyDescent="0.2">
      <c r="F23" s="10"/>
      <c r="G23" s="8" t="s">
        <v>81</v>
      </c>
      <c r="H23" s="8" t="s">
        <v>82</v>
      </c>
      <c r="I23" s="8" t="s">
        <v>83</v>
      </c>
      <c r="J23" s="8">
        <v>700</v>
      </c>
      <c r="K23" s="8">
        <v>50</v>
      </c>
      <c r="L23" s="8" t="s">
        <v>26</v>
      </c>
      <c r="M23" s="8" t="str">
        <f>IF(Assignment!J23&gt;=500,"High Price","Standard Price")</f>
        <v>High Price</v>
      </c>
      <c r="N23" s="19" t="str">
        <f t="shared" si="0"/>
        <v>14</v>
      </c>
      <c r="O23" s="20" t="str">
        <f t="shared" si="1"/>
        <v>RU</v>
      </c>
      <c r="P23" s="19" t="str">
        <f t="shared" si="2"/>
        <v>MAY</v>
      </c>
    </row>
    <row r="24" spans="1:16" x14ac:dyDescent="0.2">
      <c r="F24" s="10"/>
      <c r="G24" s="9" t="s">
        <v>84</v>
      </c>
      <c r="H24" s="9" t="s">
        <v>85</v>
      </c>
      <c r="I24" s="9" t="s">
        <v>86</v>
      </c>
      <c r="J24" s="9">
        <v>80</v>
      </c>
      <c r="K24" s="9">
        <v>20</v>
      </c>
      <c r="L24" s="9" t="s">
        <v>34</v>
      </c>
      <c r="M24" s="8" t="str">
        <f>IF(Assignment!J24&gt;=500,"High Price","Standard Price")</f>
        <v>Standard Price</v>
      </c>
      <c r="N24" s="19" t="str">
        <f t="shared" si="0"/>
        <v>09</v>
      </c>
      <c r="O24" s="20" t="str">
        <f t="shared" si="1"/>
        <v>CA</v>
      </c>
      <c r="P24" s="19" t="str">
        <f t="shared" si="2"/>
        <v>JAN</v>
      </c>
    </row>
    <row r="25" spans="1:16" x14ac:dyDescent="0.2">
      <c r="F25" s="10"/>
      <c r="G25" s="8" t="s">
        <v>87</v>
      </c>
      <c r="H25" s="8" t="s">
        <v>88</v>
      </c>
      <c r="I25" s="8" t="s">
        <v>89</v>
      </c>
      <c r="J25" s="8">
        <v>150</v>
      </c>
      <c r="K25" s="8">
        <v>30</v>
      </c>
      <c r="L25" s="8" t="s">
        <v>26</v>
      </c>
      <c r="M25" s="8" t="str">
        <f>IF(Assignment!J25&gt;=500,"High Price","Standard Price")</f>
        <v>Standard Price</v>
      </c>
      <c r="N25" s="19" t="str">
        <f t="shared" si="0"/>
        <v>19</v>
      </c>
      <c r="O25" s="20" t="str">
        <f t="shared" si="1"/>
        <v>BR</v>
      </c>
      <c r="P25" s="19" t="str">
        <f t="shared" si="2"/>
        <v>JUL</v>
      </c>
    </row>
    <row r="26" spans="1:16" x14ac:dyDescent="0.2">
      <c r="F26" s="10"/>
      <c r="G26" s="9" t="s">
        <v>67</v>
      </c>
      <c r="H26" s="9" t="s">
        <v>68</v>
      </c>
      <c r="I26" s="9" t="s">
        <v>69</v>
      </c>
      <c r="J26" s="9">
        <v>50</v>
      </c>
      <c r="K26" s="9">
        <v>35</v>
      </c>
      <c r="L26" s="9" t="s">
        <v>70</v>
      </c>
      <c r="M26" s="8" t="str">
        <f>IF(Assignment!J26&gt;=500,"High Price","Standard Price")</f>
        <v>Standard Price</v>
      </c>
      <c r="N26" s="19" t="str">
        <f t="shared" si="0"/>
        <v>21</v>
      </c>
      <c r="O26" s="20" t="str">
        <f t="shared" si="1"/>
        <v>CA</v>
      </c>
      <c r="P26" s="19" t="str">
        <f t="shared" si="2"/>
        <v>AUG</v>
      </c>
    </row>
    <row r="27" spans="1:16" x14ac:dyDescent="0.2">
      <c r="F27" s="10"/>
      <c r="G27" s="8" t="s">
        <v>90</v>
      </c>
      <c r="H27" s="8" t="s">
        <v>36</v>
      </c>
      <c r="I27" s="8" t="s">
        <v>91</v>
      </c>
      <c r="J27" s="8">
        <v>800</v>
      </c>
      <c r="K27" s="8">
        <v>45</v>
      </c>
      <c r="L27" s="8" t="s">
        <v>26</v>
      </c>
      <c r="M27" s="8" t="str">
        <f>IF(Assignment!J27&gt;=500,"High Price","Standard Price")</f>
        <v>High Price</v>
      </c>
      <c r="N27" s="19" t="str">
        <f t="shared" si="0"/>
        <v>29</v>
      </c>
      <c r="O27" s="20" t="str">
        <f t="shared" si="1"/>
        <v>CA</v>
      </c>
      <c r="P27" s="19" t="str">
        <f t="shared" si="2"/>
        <v>SEP</v>
      </c>
    </row>
    <row r="28" spans="1:16" x14ac:dyDescent="0.2">
      <c r="F28" s="10"/>
      <c r="G28" s="9" t="s">
        <v>92</v>
      </c>
      <c r="H28" s="9" t="s">
        <v>76</v>
      </c>
      <c r="I28" s="9" t="s">
        <v>93</v>
      </c>
      <c r="J28" s="9">
        <v>130</v>
      </c>
      <c r="K28" s="9">
        <v>25</v>
      </c>
      <c r="L28" s="9" t="s">
        <v>30</v>
      </c>
      <c r="M28" s="8" t="str">
        <f>IF(Assignment!J28&gt;=500,"High Price","Standard Price")</f>
        <v>Standard Price</v>
      </c>
      <c r="N28" s="19" t="str">
        <f t="shared" si="0"/>
        <v>03</v>
      </c>
      <c r="O28" s="20" t="str">
        <f t="shared" si="1"/>
        <v>CA</v>
      </c>
      <c r="P28" s="19" t="str">
        <f t="shared" si="2"/>
        <v>JUN</v>
      </c>
    </row>
    <row r="29" spans="1:16" x14ac:dyDescent="0.2">
      <c r="F29" s="10"/>
      <c r="G29" s="8" t="s">
        <v>94</v>
      </c>
      <c r="H29" s="8" t="s">
        <v>49</v>
      </c>
      <c r="I29" s="8" t="s">
        <v>95</v>
      </c>
      <c r="J29" s="8">
        <v>400</v>
      </c>
      <c r="K29" s="8">
        <v>40</v>
      </c>
      <c r="L29" s="8" t="s">
        <v>34</v>
      </c>
      <c r="M29" s="8" t="str">
        <f>IF(Assignment!J29&gt;=500,"High Price","Standard Price")</f>
        <v>Standard Price</v>
      </c>
      <c r="N29" s="19" t="str">
        <f t="shared" si="0"/>
        <v>11</v>
      </c>
      <c r="O29" s="20" t="str">
        <f t="shared" si="1"/>
        <v>CA</v>
      </c>
      <c r="P29" s="19" t="str">
        <f t="shared" si="2"/>
        <v>JUL</v>
      </c>
    </row>
    <row r="30" spans="1:16" x14ac:dyDescent="0.2">
      <c r="F30" s="10"/>
      <c r="G30" s="9" t="s">
        <v>65</v>
      </c>
      <c r="H30" s="9" t="s">
        <v>43</v>
      </c>
      <c r="I30" s="9" t="s">
        <v>66</v>
      </c>
      <c r="J30" s="9">
        <v>230</v>
      </c>
      <c r="K30" s="9">
        <v>20</v>
      </c>
      <c r="L30" s="9" t="s">
        <v>26</v>
      </c>
      <c r="M30" s="8" t="str">
        <f>IF(Assignment!J30&gt;=500,"High Price","Standard Price")</f>
        <v>Standard Price</v>
      </c>
      <c r="N30" s="19" t="str">
        <f t="shared" si="0"/>
        <v>16</v>
      </c>
      <c r="O30" s="20" t="str">
        <f t="shared" si="1"/>
        <v>ES</v>
      </c>
      <c r="P30" s="19" t="str">
        <f t="shared" si="2"/>
        <v>APR</v>
      </c>
    </row>
    <row r="31" spans="1:16" x14ac:dyDescent="0.2">
      <c r="F31" s="10"/>
      <c r="G31" s="8" t="s">
        <v>96</v>
      </c>
      <c r="H31" s="8" t="s">
        <v>97</v>
      </c>
      <c r="I31" s="8" t="s">
        <v>98</v>
      </c>
      <c r="J31" s="8">
        <v>60</v>
      </c>
      <c r="K31" s="8">
        <v>30</v>
      </c>
      <c r="L31" s="8" t="s">
        <v>30</v>
      </c>
      <c r="M31" s="8" t="str">
        <f>IF(Assignment!J31&gt;=500,"High Price","Standard Price")</f>
        <v>Standard Price</v>
      </c>
      <c r="N31" s="19" t="str">
        <f t="shared" si="0"/>
        <v>07</v>
      </c>
      <c r="O31" s="20" t="str">
        <f t="shared" si="1"/>
        <v>CA</v>
      </c>
      <c r="P31" s="19" t="str">
        <f t="shared" si="2"/>
        <v>MAR</v>
      </c>
    </row>
    <row r="32" spans="1:16" x14ac:dyDescent="0.2">
      <c r="F32" s="10"/>
      <c r="G32" s="9" t="s">
        <v>99</v>
      </c>
      <c r="H32" s="9" t="s">
        <v>100</v>
      </c>
      <c r="I32" s="9" t="s">
        <v>101</v>
      </c>
      <c r="J32" s="9">
        <v>40</v>
      </c>
      <c r="K32" s="9">
        <v>10</v>
      </c>
      <c r="L32" s="9" t="s">
        <v>34</v>
      </c>
      <c r="M32" s="8" t="str">
        <f>IF(Assignment!J32&gt;=500,"High Price","Standard Price")</f>
        <v>Standard Price</v>
      </c>
      <c r="N32" s="19" t="str">
        <f t="shared" si="0"/>
        <v>13</v>
      </c>
      <c r="O32" s="20" t="str">
        <f t="shared" si="1"/>
        <v>CA</v>
      </c>
      <c r="P32" s="19" t="str">
        <f t="shared" si="2"/>
        <v>APR</v>
      </c>
    </row>
    <row r="33" spans="6:16" x14ac:dyDescent="0.2">
      <c r="F33" s="10"/>
      <c r="G33" s="8" t="s">
        <v>102</v>
      </c>
      <c r="H33" s="8" t="s">
        <v>88</v>
      </c>
      <c r="I33" s="8" t="s">
        <v>103</v>
      </c>
      <c r="J33" s="8">
        <v>130</v>
      </c>
      <c r="K33" s="8">
        <v>5</v>
      </c>
      <c r="L33" s="8" t="s">
        <v>26</v>
      </c>
      <c r="M33" s="8" t="str">
        <f>IF(Assignment!J33&gt;=500,"High Price","Standard Price")</f>
        <v>Standard Price</v>
      </c>
      <c r="N33" s="19" t="str">
        <f t="shared" si="0"/>
        <v>24</v>
      </c>
      <c r="O33" s="20" t="str">
        <f t="shared" si="1"/>
        <v>CA</v>
      </c>
      <c r="P33" s="19" t="str">
        <f t="shared" si="2"/>
        <v>MAY</v>
      </c>
    </row>
    <row r="34" spans="6:16" x14ac:dyDescent="0.2">
      <c r="F34" s="10"/>
      <c r="G34" s="9" t="s">
        <v>104</v>
      </c>
      <c r="H34" s="9" t="s">
        <v>105</v>
      </c>
      <c r="I34" s="9" t="s">
        <v>106</v>
      </c>
      <c r="J34" s="9">
        <v>50</v>
      </c>
      <c r="K34" s="9">
        <v>50</v>
      </c>
      <c r="L34" s="9" t="s">
        <v>30</v>
      </c>
      <c r="M34" s="8" t="str">
        <f>IF(Assignment!J34&gt;=500,"High Price","Standard Price")</f>
        <v>Standard Price</v>
      </c>
      <c r="N34" s="19" t="str">
        <f t="shared" si="0"/>
        <v>02</v>
      </c>
      <c r="O34" s="20" t="str">
        <f t="shared" si="1"/>
        <v>CA</v>
      </c>
      <c r="P34" s="19" t="str">
        <f t="shared" si="2"/>
        <v>DEC</v>
      </c>
    </row>
    <row r="35" spans="6:16" x14ac:dyDescent="0.2">
      <c r="F35" s="10"/>
      <c r="G35" s="8" t="s">
        <v>57</v>
      </c>
      <c r="H35" s="8" t="s">
        <v>24</v>
      </c>
      <c r="I35" s="8" t="s">
        <v>58</v>
      </c>
      <c r="J35" s="8">
        <v>950</v>
      </c>
      <c r="K35" s="8">
        <v>25</v>
      </c>
      <c r="L35" s="8" t="s">
        <v>26</v>
      </c>
      <c r="M35" s="8" t="str">
        <f>IF(Assignment!J35&gt;=500,"High Price","Standard Price")</f>
        <v>High Price</v>
      </c>
      <c r="N35" s="19" t="str">
        <f t="shared" si="0"/>
        <v>17</v>
      </c>
      <c r="O35" s="20" t="str">
        <f t="shared" si="1"/>
        <v>IN</v>
      </c>
      <c r="P35" s="19" t="str">
        <f t="shared" si="2"/>
        <v>JUN</v>
      </c>
    </row>
    <row r="36" spans="6:16" x14ac:dyDescent="0.2">
      <c r="F36" s="10"/>
      <c r="G36" s="9" t="s">
        <v>107</v>
      </c>
      <c r="H36" s="9" t="s">
        <v>108</v>
      </c>
      <c r="I36" s="9" t="s">
        <v>109</v>
      </c>
      <c r="J36" s="9">
        <v>100</v>
      </c>
      <c r="K36" s="9">
        <v>20</v>
      </c>
      <c r="L36" s="9" t="s">
        <v>70</v>
      </c>
      <c r="M36" s="8" t="str">
        <f>IF(Assignment!J36&gt;=500,"High Price","Standard Price")</f>
        <v>Standard Price</v>
      </c>
      <c r="N36" s="19" t="str">
        <f t="shared" si="0"/>
        <v>09</v>
      </c>
      <c r="O36" s="20" t="str">
        <f t="shared" si="1"/>
        <v>FR</v>
      </c>
      <c r="P36" s="19" t="str">
        <f t="shared" si="2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N A</cp:lastModifiedBy>
  <dcterms:modified xsi:type="dcterms:W3CDTF">2026-09-17T11:27:46Z</dcterms:modified>
</cp:coreProperties>
</file>